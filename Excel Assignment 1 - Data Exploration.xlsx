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ANE\Downloads\"/>
    </mc:Choice>
  </mc:AlternateContent>
  <xr:revisionPtr revIDLastSave="0" documentId="13_ncr:1_{141E6DFA-576D-437A-B7C7-7CFBAD9315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O11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O6" i="1"/>
  <c r="O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O12" i="1"/>
  <c r="O8" i="1"/>
  <c r="O7" i="1"/>
  <c r="O5" i="1"/>
</calcChain>
</file>

<file path=xl/sharedStrings.xml><?xml version="1.0" encoding="utf-8"?>
<sst xmlns="http://schemas.openxmlformats.org/spreadsheetml/2006/main" count="180" uniqueCount="125">
  <si>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</si>
  <si>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</si>
  <si>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</si>
  <si>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</si>
  <si>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</si>
  <si>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</si>
  <si>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</si>
  <si>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</si>
  <si>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</si>
  <si>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</si>
  <si>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</si>
  <si>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</si>
  <si>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</si>
  <si>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</si>
  <si>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</si>
  <si>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</si>
  <si>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</si>
  <si>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</si>
  <si>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</si>
  <si>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</si>
  <si>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</si>
  <si>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</si>
  <si>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</si>
  <si>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</si>
  <si>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</si>
  <si>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</si>
  <si>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</si>
  <si>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</si>
  <si>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</si>
  <si>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</si>
  <si>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</si>
  <si>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</si>
  <si>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</si>
  <si>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</si>
  <si>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</si>
  <si>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</si>
  <si>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</si>
  <si>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</si>
  <si>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</si>
  <si>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</si>
  <si>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</si>
  <si>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</si>
  <si>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</si>
  <si>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</si>
  <si>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</si>
  <si>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</si>
  <si>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</si>
  <si>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</si>
  <si>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</si>
  <si>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</si>
  <si>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</si>
  <si>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</si>
  <si>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</si>
  <si>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</si>
  <si>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</si>
  <si>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</si>
  <si>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</si>
  <si>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</si>
  <si>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</si>
  <si>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</si>
  <si>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</si>
  <si>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</si>
  <si>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</si>
  <si>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</si>
  <si>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</si>
  <si>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</si>
  <si>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</si>
  <si>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</si>
  <si>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</si>
  <si>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</si>
  <si>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</si>
  <si>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</si>
  <si>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</si>
  <si>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</si>
  <si>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</si>
  <si>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</si>
  <si>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</si>
  <si>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</si>
  <si>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</si>
  <si>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</si>
  <si>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</si>
  <si>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</si>
  <si>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</si>
  <si>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</si>
  <si>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</si>
  <si>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</si>
  <si>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</si>
  <si>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</si>
  <si>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</si>
  <si>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</si>
  <si>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</si>
  <si>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</si>
  <si>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</si>
  <si>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</si>
  <si>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BASIC DATA EXPLORATION ANSWERS</t>
  </si>
  <si>
    <t>S.NO</t>
  </si>
  <si>
    <t>NAME</t>
  </si>
  <si>
    <t>SUM</t>
  </si>
  <si>
    <t>COUNT</t>
  </si>
  <si>
    <t>AVERAGE</t>
  </si>
  <si>
    <t>TASK</t>
  </si>
  <si>
    <t>TOTAL PRICE OF ALL PRODUCTS</t>
  </si>
  <si>
    <t xml:space="preserve">TOTAL NO.OF PRODUCTS </t>
  </si>
  <si>
    <t>AVERAGE PRICE OF THE PRODUCTS</t>
  </si>
  <si>
    <t>MINIMUM PRICE</t>
  </si>
  <si>
    <t>MAXIMUM PRICE</t>
  </si>
  <si>
    <t xml:space="preserve">MINIMUM </t>
  </si>
  <si>
    <t>MAXIMUM</t>
  </si>
  <si>
    <t>IF PRICE &lt;$500,STANDARD PRICE</t>
  </si>
  <si>
    <t>IF PRICE &gt; $500,HIGH PRICE</t>
  </si>
  <si>
    <t>IF&gt;</t>
  </si>
  <si>
    <t>IF&lt;</t>
  </si>
  <si>
    <t>Price Range</t>
  </si>
  <si>
    <t>COMPLETED</t>
  </si>
  <si>
    <t>TOTAL NO.OF PRODUCTS IN ELECTRONICS</t>
  </si>
  <si>
    <t xml:space="preserve"> NO.OF PRODUCTS LESS THA $100</t>
  </si>
  <si>
    <t>SUMIF</t>
  </si>
  <si>
    <t>COUNTIF</t>
  </si>
  <si>
    <t>Day</t>
  </si>
  <si>
    <t>Country Code</t>
  </si>
  <si>
    <t>Month</t>
  </si>
  <si>
    <t>TEXT FORMATTING</t>
  </si>
  <si>
    <t>LEFT</t>
  </si>
  <si>
    <t>MID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</si>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</sst>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E0F7FA"/>
      </patternFill>
    </fill>
    <fill>
      <patternFill patternType="solid">
        <fgColor theme="4" tint="0.79998168889431442"/>
        <bgColor rgb="FFE0F7FA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4"/>
      </left>
      <right/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4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4"/>
      </left>
      <right/>
      <top/>
      <bottom/>
      <diagonal/>
    </border>
    <border>
      <left style="thin">
        <color theme="3"/>
      </left>
      <right style="thin">
        <color theme="4"/>
      </right>
      <top style="thin">
        <color theme="3"/>
      </top>
      <bottom/>
      <diagonal/>
    </border>
    <border>
      <left style="thin">
        <color theme="3"/>
      </left>
      <right style="thin">
        <color theme="4"/>
      </right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5" borderId="0" xfId="0" applyFont="1" applyFill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4" borderId="0" xfId="0" applyFont="1" applyFill="1"/>
    <xf numFmtId="0" fontId="3" fillId="6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21" xfId="0" applyFont="1" applyBorder="1" applyAlignment="1">
      <alignment horizontal="left"/>
    </xf>
    <xf numFmtId="0" fontId="5" fillId="0" borderId="21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/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5477A-9DA8-4E25-B367-AA4BD934BE3B}" name="Table1" displayName="Table1" ref="A1:J35" totalsRowShown="0" headerRowDxfId="11" dataDxfId="10">
  <autoFilter ref="A1:J35" xr:uid="{87F5477A-9DA8-4E25-B367-AA4BD934BE3B}"/>
  <tableColumns count="10">
    <tableColumn id="1" xr3:uid="{64E3B25F-9430-4ED5-BE17-D2F711219B5A}" name="Product ID" dataDxfId="9"/>
    <tableColumn id="13" xr3:uid="{5FAC34DC-6650-4859-8574-ED0BDB101473}" name="Day" dataDxfId="8">
      <calculatedColumnFormula>LEFT(A2,2)</calculatedColumnFormula>
    </tableColumn>
    <tableColumn id="12" xr3:uid="{60354178-2FF9-4251-B33C-C9EAEE1DEA40}" name="Month" dataDxfId="7">
      <calculatedColumnFormula>MID(A2,4,3)</calculatedColumnFormula>
    </tableColumn>
    <tableColumn id="11" xr3:uid="{2D299C26-C65F-478C-83AF-454FA33799F4}" name="Country Code" dataDxfId="6">
      <calculatedColumnFormula>RIGHT(A2,2)</calculatedColumnFormula>
    </tableColumn>
    <tableColumn id="2" xr3:uid="{02B97D57-A0CD-4B26-B9E9-24C31A28FB4A}" name="Product Name" dataDxfId="5"/>
    <tableColumn id="3" xr3:uid="{D51F2282-5F37-4107-B3B4-490803C80686}" name="Brand Name" dataDxfId="4"/>
    <tableColumn id="4" xr3:uid="{D181AA54-1C55-4464-BD77-6879B2392319}" name="Price ($)" dataDxfId="3"/>
    <tableColumn id="7" xr3:uid="{28E93A7C-C1E8-4303-92D0-C5F546C5E2C5}" name="Price Range" dataDxfId="0">
      <calculatedColumnFormula>IF(G2&gt;=500, "Higher Price", "Standard Price")</calculatedColumnFormula>
    </tableColumn>
    <tableColumn id="5" xr3:uid="{DD663B6E-51D6-45CF-808C-A974FDC8EDC5}" name="Quantity" dataDxfId="2"/>
    <tableColumn id="6" xr3:uid="{E0CA2AEA-1783-4178-B131-70D3D532495E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topLeftCell="C1" zoomScale="85" zoomScaleNormal="85" workbookViewId="0">
      <selection activeCell="O15" sqref="O15"/>
    </sheetView>
  </sheetViews>
  <sheetFormatPr defaultColWidth="16.77734375" defaultRowHeight="15" customHeight="1" x14ac:dyDescent="0.25"/>
  <cols>
    <col min="13" max="13" width="40.44140625" customWidth="1"/>
  </cols>
  <sheetData>
    <row r="1" spans="1:15" ht="15.75" customHeight="1" x14ac:dyDescent="0.25">
      <c r="A1" s="1" t="s">
        <v>0</v>
      </c>
      <c r="B1" s="20" t="s">
        <v>118</v>
      </c>
      <c r="C1" s="8" t="s">
        <v>120</v>
      </c>
      <c r="D1" s="8" t="s">
        <v>119</v>
      </c>
      <c r="E1" s="1" t="s">
        <v>1</v>
      </c>
      <c r="F1" s="1" t="s">
        <v>2</v>
      </c>
      <c r="G1" s="1" t="s">
        <v>3</v>
      </c>
      <c r="H1" s="8" t="s">
        <v>112</v>
      </c>
      <c r="I1" s="1" t="s">
        <v>4</v>
      </c>
      <c r="J1" s="1" t="s">
        <v>5</v>
      </c>
    </row>
    <row r="2" spans="1:15" ht="15.75" customHeight="1" x14ac:dyDescent="0.25">
      <c r="A2" s="34" t="s">
        <v>6</v>
      </c>
      <c r="B2" s="35" t="str">
        <f t="shared" ref="B2:B35" si="0">LEFT(A2,2)</f>
        <v>28</v>
      </c>
      <c r="C2" s="36" t="str">
        <f t="shared" ref="C2:C35" si="1">MID(A2,4,3)</f>
        <v>JAN</v>
      </c>
      <c r="D2" s="32" t="str">
        <f t="shared" ref="D2:D35" si="2">RIGHT(A2,2)</f>
        <v>US</v>
      </c>
      <c r="E2" s="23" t="s">
        <v>7</v>
      </c>
      <c r="F2" s="23" t="s">
        <v>8</v>
      </c>
      <c r="G2" s="23">
        <v>1000</v>
      </c>
      <c r="H2" s="57" t="str">
        <f>IF(G2&gt;=500, "Higher Price", "Standard Price")</f>
        <v>Higher Price</v>
      </c>
      <c r="I2" s="23">
        <v>30</v>
      </c>
      <c r="J2" s="24" t="s">
        <v>9</v>
      </c>
      <c r="L2" s="49" t="s">
        <v>94</v>
      </c>
      <c r="M2" s="50"/>
      <c r="N2" s="50"/>
      <c r="O2" s="50"/>
    </row>
    <row r="3" spans="1:15" ht="15.75" customHeight="1" x14ac:dyDescent="0.25">
      <c r="A3" s="9" t="s">
        <v>10</v>
      </c>
      <c r="B3" s="30" t="str">
        <f t="shared" si="0"/>
        <v>15</v>
      </c>
      <c r="C3" s="33" t="str">
        <f t="shared" si="1"/>
        <v>FEB</v>
      </c>
      <c r="D3" s="33" t="str">
        <f t="shared" si="2"/>
        <v>US</v>
      </c>
      <c r="E3" s="25" t="s">
        <v>11</v>
      </c>
      <c r="F3" s="25" t="s">
        <v>12</v>
      </c>
      <c r="G3" s="26">
        <v>80</v>
      </c>
      <c r="H3" s="22" t="str">
        <f t="shared" ref="H2:H35" si="3">IF(G3&gt;=500, "Higher Price", "Standard Price")</f>
        <v>Standard Price</v>
      </c>
      <c r="I3" s="27">
        <v>15</v>
      </c>
      <c r="J3" s="28" t="s">
        <v>13</v>
      </c>
      <c r="L3" s="3" t="s">
        <v>95</v>
      </c>
      <c r="M3" s="3" t="s">
        <v>96</v>
      </c>
      <c r="N3" s="3" t="s">
        <v>100</v>
      </c>
      <c r="O3" s="3" t="s">
        <v>93</v>
      </c>
    </row>
    <row r="4" spans="1:15" ht="15.75" customHeight="1" x14ac:dyDescent="0.25">
      <c r="A4" s="34" t="s">
        <v>14</v>
      </c>
      <c r="B4" s="35" t="str">
        <f t="shared" si="0"/>
        <v>03</v>
      </c>
      <c r="C4" s="37" t="str">
        <f t="shared" si="1"/>
        <v>MAR</v>
      </c>
      <c r="D4" s="37" t="str">
        <f t="shared" si="2"/>
        <v>US</v>
      </c>
      <c r="E4" s="29" t="s">
        <v>15</v>
      </c>
      <c r="F4" s="29" t="s">
        <v>16</v>
      </c>
      <c r="G4" s="23">
        <v>130</v>
      </c>
      <c r="H4" s="21" t="str">
        <f t="shared" si="3"/>
        <v>Standard Price</v>
      </c>
      <c r="I4" s="29">
        <v>40</v>
      </c>
      <c r="J4" s="24" t="s">
        <v>17</v>
      </c>
      <c r="L4" s="46">
        <v>1</v>
      </c>
      <c r="M4" s="4" t="s">
        <v>101</v>
      </c>
      <c r="N4" s="5" t="s">
        <v>97</v>
      </c>
      <c r="O4" s="5" t="str">
        <f>"$"  &amp; SUM(G2:G35)</f>
        <v>$10100</v>
      </c>
    </row>
    <row r="5" spans="1:15" ht="15.75" customHeight="1" x14ac:dyDescent="0.25">
      <c r="A5" s="9" t="s">
        <v>18</v>
      </c>
      <c r="B5" s="30" t="str">
        <f t="shared" si="0"/>
        <v>11</v>
      </c>
      <c r="C5" s="33" t="str">
        <f t="shared" si="1"/>
        <v>APR</v>
      </c>
      <c r="D5" s="33" t="str">
        <f t="shared" si="2"/>
        <v>US</v>
      </c>
      <c r="E5" s="25" t="s">
        <v>19</v>
      </c>
      <c r="F5" s="25" t="s">
        <v>20</v>
      </c>
      <c r="G5" s="25">
        <v>900</v>
      </c>
      <c r="H5" s="22" t="str">
        <f t="shared" si="3"/>
        <v>Higher Price</v>
      </c>
      <c r="I5" s="25">
        <v>25</v>
      </c>
      <c r="J5" s="28" t="s">
        <v>9</v>
      </c>
      <c r="L5" s="47"/>
      <c r="M5" s="4" t="s">
        <v>102</v>
      </c>
      <c r="N5" s="2" t="s">
        <v>98</v>
      </c>
      <c r="O5" s="6">
        <f>COUNT(G2:G35)</f>
        <v>34</v>
      </c>
    </row>
    <row r="6" spans="1:15" ht="15.75" customHeight="1" x14ac:dyDescent="0.25">
      <c r="A6" s="34" t="s">
        <v>21</v>
      </c>
      <c r="B6" s="35" t="str">
        <f t="shared" si="0"/>
        <v>22</v>
      </c>
      <c r="C6" s="37" t="str">
        <f t="shared" si="1"/>
        <v>MAY</v>
      </c>
      <c r="D6" s="37" t="str">
        <f t="shared" si="2"/>
        <v>US</v>
      </c>
      <c r="E6" s="29" t="s">
        <v>22</v>
      </c>
      <c r="F6" s="29" t="s">
        <v>23</v>
      </c>
      <c r="G6" s="29">
        <v>70</v>
      </c>
      <c r="H6" s="21" t="str">
        <f t="shared" si="3"/>
        <v>Standard Price</v>
      </c>
      <c r="I6" s="29">
        <v>20</v>
      </c>
      <c r="J6" s="24" t="s">
        <v>24</v>
      </c>
      <c r="L6" s="48"/>
      <c r="M6" s="4" t="s">
        <v>103</v>
      </c>
      <c r="N6" s="2" t="s">
        <v>99</v>
      </c>
      <c r="O6" s="6" t="str">
        <f>"$" &amp; ROUND(AVERAGE(G2:G35),2)</f>
        <v>$297.06</v>
      </c>
    </row>
    <row r="7" spans="1:15" ht="15.75" customHeight="1" x14ac:dyDescent="0.25">
      <c r="A7" s="9" t="s">
        <v>25</v>
      </c>
      <c r="B7" s="30" t="str">
        <f t="shared" si="0"/>
        <v>07</v>
      </c>
      <c r="C7" s="33" t="str">
        <f t="shared" si="1"/>
        <v>JUN</v>
      </c>
      <c r="D7" s="33" t="str">
        <f t="shared" si="2"/>
        <v>UK</v>
      </c>
      <c r="E7" s="25" t="s">
        <v>26</v>
      </c>
      <c r="F7" s="25" t="s">
        <v>27</v>
      </c>
      <c r="G7" s="25">
        <v>200</v>
      </c>
      <c r="H7" s="22" t="str">
        <f t="shared" si="3"/>
        <v>Standard Price</v>
      </c>
      <c r="I7" s="25">
        <v>45</v>
      </c>
      <c r="J7" s="28" t="s">
        <v>9</v>
      </c>
      <c r="L7" s="51">
        <v>2</v>
      </c>
      <c r="M7" s="4" t="s">
        <v>104</v>
      </c>
      <c r="N7" s="2" t="s">
        <v>106</v>
      </c>
      <c r="O7" s="6" t="str">
        <f>"$" &amp; MIN(G2:G35)</f>
        <v>$30</v>
      </c>
    </row>
    <row r="8" spans="1:15" ht="15.75" customHeight="1" x14ac:dyDescent="0.25">
      <c r="A8" s="34" t="s">
        <v>28</v>
      </c>
      <c r="B8" s="35" t="str">
        <f t="shared" si="0"/>
        <v>19</v>
      </c>
      <c r="C8" s="37" t="str">
        <f t="shared" si="1"/>
        <v>JUL</v>
      </c>
      <c r="D8" s="37" t="str">
        <f t="shared" si="2"/>
        <v>UK</v>
      </c>
      <c r="E8" s="29" t="s">
        <v>29</v>
      </c>
      <c r="F8" s="29" t="s">
        <v>30</v>
      </c>
      <c r="G8" s="29">
        <v>30</v>
      </c>
      <c r="H8" s="21" t="str">
        <f t="shared" si="3"/>
        <v>Standard Price</v>
      </c>
      <c r="I8" s="29">
        <v>5</v>
      </c>
      <c r="J8" s="24" t="s">
        <v>13</v>
      </c>
      <c r="L8" s="52"/>
      <c r="M8" s="10" t="s">
        <v>105</v>
      </c>
      <c r="N8" s="11" t="s">
        <v>107</v>
      </c>
      <c r="O8" s="7" t="str">
        <f>"$" &amp; MAX(G2:G35)</f>
        <v>$1000</v>
      </c>
    </row>
    <row r="9" spans="1:15" ht="15.75" customHeight="1" x14ac:dyDescent="0.25">
      <c r="A9" s="9" t="s">
        <v>31</v>
      </c>
      <c r="B9" s="30" t="str">
        <f t="shared" si="0"/>
        <v>23</v>
      </c>
      <c r="C9" s="33" t="str">
        <f t="shared" si="1"/>
        <v>AUG</v>
      </c>
      <c r="D9" s="33" t="str">
        <f t="shared" si="2"/>
        <v>UK</v>
      </c>
      <c r="E9" s="25" t="s">
        <v>32</v>
      </c>
      <c r="F9" s="25" t="s">
        <v>33</v>
      </c>
      <c r="G9" s="25">
        <v>90</v>
      </c>
      <c r="H9" s="22" t="str">
        <f t="shared" si="3"/>
        <v>Standard Price</v>
      </c>
      <c r="I9" s="25">
        <v>35</v>
      </c>
      <c r="J9" s="28" t="s">
        <v>17</v>
      </c>
      <c r="L9" s="53">
        <v>3</v>
      </c>
      <c r="M9" s="13" t="s">
        <v>109</v>
      </c>
      <c r="N9" s="12" t="s">
        <v>110</v>
      </c>
      <c r="O9" s="16" t="s">
        <v>113</v>
      </c>
    </row>
    <row r="10" spans="1:15" ht="15.75" customHeight="1" x14ac:dyDescent="0.25">
      <c r="A10" s="34" t="s">
        <v>34</v>
      </c>
      <c r="B10" s="35" t="str">
        <f t="shared" si="0"/>
        <v>05</v>
      </c>
      <c r="C10" s="37" t="str">
        <f t="shared" si="1"/>
        <v>SEP</v>
      </c>
      <c r="D10" s="37" t="str">
        <f t="shared" si="2"/>
        <v>UK</v>
      </c>
      <c r="E10" s="29" t="s">
        <v>35</v>
      </c>
      <c r="F10" s="29" t="s">
        <v>36</v>
      </c>
      <c r="G10" s="29">
        <v>500</v>
      </c>
      <c r="H10" s="21" t="str">
        <f t="shared" si="3"/>
        <v>Higher Price</v>
      </c>
      <c r="I10" s="29">
        <v>50</v>
      </c>
      <c r="J10" s="24" t="s">
        <v>9</v>
      </c>
      <c r="L10" s="54"/>
      <c r="M10" s="14" t="s">
        <v>108</v>
      </c>
      <c r="N10" s="15" t="s">
        <v>111</v>
      </c>
      <c r="O10" s="17" t="s">
        <v>113</v>
      </c>
    </row>
    <row r="11" spans="1:15" ht="15.75" customHeight="1" x14ac:dyDescent="0.25">
      <c r="A11" s="9" t="s">
        <v>37</v>
      </c>
      <c r="B11" s="30" t="str">
        <f t="shared" si="0"/>
        <v>14</v>
      </c>
      <c r="C11" s="33" t="str">
        <f t="shared" si="1"/>
        <v>OCT</v>
      </c>
      <c r="D11" s="33" t="str">
        <f t="shared" si="2"/>
        <v>UK</v>
      </c>
      <c r="E11" s="25" t="s">
        <v>38</v>
      </c>
      <c r="F11" s="25" t="s">
        <v>39</v>
      </c>
      <c r="G11" s="25">
        <v>130</v>
      </c>
      <c r="H11" s="22" t="str">
        <f t="shared" si="3"/>
        <v>Standard Price</v>
      </c>
      <c r="I11" s="25">
        <v>10</v>
      </c>
      <c r="J11" s="28" t="s">
        <v>24</v>
      </c>
      <c r="L11" s="55">
        <v>4</v>
      </c>
      <c r="M11" s="18" t="s">
        <v>114</v>
      </c>
      <c r="N11" s="15" t="s">
        <v>116</v>
      </c>
      <c r="O11" s="19" t="str">
        <f>"$" &amp; SUMIF(J2:J35,"Electronics",G2:G35)</f>
        <v>$8050</v>
      </c>
    </row>
    <row r="12" spans="1:15" ht="15.75" customHeight="1" x14ac:dyDescent="0.25">
      <c r="A12" s="34" t="s">
        <v>40</v>
      </c>
      <c r="B12" s="35" t="str">
        <f t="shared" si="0"/>
        <v>17</v>
      </c>
      <c r="C12" s="37" t="str">
        <f t="shared" si="1"/>
        <v>JUN</v>
      </c>
      <c r="D12" s="37" t="str">
        <f t="shared" si="2"/>
        <v>IN</v>
      </c>
      <c r="E12" s="29" t="s">
        <v>7</v>
      </c>
      <c r="F12" s="29" t="s">
        <v>41</v>
      </c>
      <c r="G12" s="29">
        <v>950</v>
      </c>
      <c r="H12" s="21" t="str">
        <f t="shared" si="3"/>
        <v>Higher Price</v>
      </c>
      <c r="I12" s="29">
        <v>25</v>
      </c>
      <c r="J12" s="24" t="s">
        <v>9</v>
      </c>
      <c r="L12" s="56"/>
      <c r="M12" s="38" t="s">
        <v>115</v>
      </c>
      <c r="N12" s="39" t="s">
        <v>117</v>
      </c>
      <c r="O12" s="40">
        <f>COUNTIF(G2:G35, "&lt;100")</f>
        <v>11</v>
      </c>
    </row>
    <row r="13" spans="1:15" ht="15.75" customHeight="1" x14ac:dyDescent="0.25">
      <c r="A13" s="9" t="s">
        <v>42</v>
      </c>
      <c r="B13" s="30" t="str">
        <f t="shared" si="0"/>
        <v>25</v>
      </c>
      <c r="C13" s="33" t="str">
        <f t="shared" si="1"/>
        <v>NOV</v>
      </c>
      <c r="D13" s="33" t="str">
        <f t="shared" si="2"/>
        <v>AU</v>
      </c>
      <c r="E13" s="25" t="s">
        <v>11</v>
      </c>
      <c r="F13" s="25" t="s">
        <v>30</v>
      </c>
      <c r="G13" s="25">
        <v>90</v>
      </c>
      <c r="H13" s="22" t="str">
        <f t="shared" si="3"/>
        <v>Standard Price</v>
      </c>
      <c r="I13" s="25">
        <v>40</v>
      </c>
      <c r="J13" s="28" t="s">
        <v>13</v>
      </c>
      <c r="L13" s="43">
        <v>5</v>
      </c>
      <c r="M13" s="41" t="s">
        <v>121</v>
      </c>
      <c r="N13" s="42" t="s">
        <v>122</v>
      </c>
      <c r="O13" s="17" t="s">
        <v>113</v>
      </c>
    </row>
    <row r="14" spans="1:15" ht="15.75" customHeight="1" x14ac:dyDescent="0.25">
      <c r="A14" s="34" t="s">
        <v>43</v>
      </c>
      <c r="B14" s="35" t="str">
        <f t="shared" si="0"/>
        <v>08</v>
      </c>
      <c r="C14" s="37" t="str">
        <f t="shared" si="1"/>
        <v>DEC</v>
      </c>
      <c r="D14" s="37" t="str">
        <f t="shared" si="2"/>
        <v>DE</v>
      </c>
      <c r="E14" s="29" t="s">
        <v>15</v>
      </c>
      <c r="F14" s="29" t="s">
        <v>44</v>
      </c>
      <c r="G14" s="29">
        <v>120</v>
      </c>
      <c r="H14" s="21" t="str">
        <f t="shared" si="3"/>
        <v>Standard Price</v>
      </c>
      <c r="I14" s="29">
        <v>35</v>
      </c>
      <c r="J14" s="24" t="s">
        <v>17</v>
      </c>
      <c r="L14" s="44"/>
      <c r="M14" s="41" t="s">
        <v>121</v>
      </c>
      <c r="N14" s="42" t="s">
        <v>123</v>
      </c>
      <c r="O14" s="17" t="s">
        <v>113</v>
      </c>
    </row>
    <row r="15" spans="1:15" ht="15.75" customHeight="1" x14ac:dyDescent="0.25">
      <c r="A15" s="9" t="s">
        <v>45</v>
      </c>
      <c r="B15" s="30" t="str">
        <f t="shared" si="0"/>
        <v>18</v>
      </c>
      <c r="C15" s="33" t="str">
        <f t="shared" si="1"/>
        <v>FEB</v>
      </c>
      <c r="D15" s="33" t="str">
        <f t="shared" si="2"/>
        <v>CA</v>
      </c>
      <c r="E15" s="25" t="s">
        <v>46</v>
      </c>
      <c r="F15" s="25" t="s">
        <v>47</v>
      </c>
      <c r="G15" s="25">
        <v>150</v>
      </c>
      <c r="H15" s="22" t="str">
        <f t="shared" si="3"/>
        <v>Standard Price</v>
      </c>
      <c r="I15" s="25">
        <v>15</v>
      </c>
      <c r="J15" s="28" t="s">
        <v>9</v>
      </c>
      <c r="L15" s="45"/>
      <c r="M15" s="41" t="s">
        <v>121</v>
      </c>
      <c r="N15" s="42" t="s">
        <v>124</v>
      </c>
      <c r="O15" s="17" t="s">
        <v>113</v>
      </c>
    </row>
    <row r="16" spans="1:15" ht="15.75" customHeight="1" x14ac:dyDescent="0.25">
      <c r="A16" s="34" t="s">
        <v>48</v>
      </c>
      <c r="B16" s="35" t="str">
        <f t="shared" si="0"/>
        <v>16</v>
      </c>
      <c r="C16" s="37" t="str">
        <f t="shared" si="1"/>
        <v>APR</v>
      </c>
      <c r="D16" s="37" t="str">
        <f t="shared" si="2"/>
        <v>ES</v>
      </c>
      <c r="E16" s="29" t="s">
        <v>26</v>
      </c>
      <c r="F16" s="29" t="s">
        <v>49</v>
      </c>
      <c r="G16" s="29">
        <v>250</v>
      </c>
      <c r="H16" s="21" t="str">
        <f t="shared" si="3"/>
        <v>Standard Price</v>
      </c>
      <c r="I16" s="29">
        <v>20</v>
      </c>
      <c r="J16" s="24" t="s">
        <v>9</v>
      </c>
    </row>
    <row r="17" spans="1:10" ht="15.75" customHeight="1" x14ac:dyDescent="0.25">
      <c r="A17" s="9" t="s">
        <v>50</v>
      </c>
      <c r="B17" s="30" t="str">
        <f t="shared" si="0"/>
        <v>21</v>
      </c>
      <c r="C17" s="33" t="str">
        <f t="shared" si="1"/>
        <v>AUG</v>
      </c>
      <c r="D17" s="33" t="str">
        <f t="shared" si="2"/>
        <v>CA</v>
      </c>
      <c r="E17" s="25" t="s">
        <v>51</v>
      </c>
      <c r="F17" s="25" t="s">
        <v>52</v>
      </c>
      <c r="G17" s="25">
        <v>50</v>
      </c>
      <c r="H17" s="22" t="str">
        <f t="shared" si="3"/>
        <v>Standard Price</v>
      </c>
      <c r="I17" s="25">
        <v>35</v>
      </c>
      <c r="J17" s="28" t="s">
        <v>53</v>
      </c>
    </row>
    <row r="18" spans="1:10" ht="15.75" customHeight="1" x14ac:dyDescent="0.25">
      <c r="A18" s="34" t="s">
        <v>54</v>
      </c>
      <c r="B18" s="35" t="str">
        <f t="shared" si="0"/>
        <v>20</v>
      </c>
      <c r="C18" s="37" t="str">
        <f t="shared" si="1"/>
        <v>AUG</v>
      </c>
      <c r="D18" s="37" t="str">
        <f t="shared" si="2"/>
        <v>CN</v>
      </c>
      <c r="E18" s="29" t="s">
        <v>46</v>
      </c>
      <c r="F18" s="29" t="s">
        <v>55</v>
      </c>
      <c r="G18" s="29">
        <v>160</v>
      </c>
      <c r="H18" s="21" t="str">
        <f t="shared" si="3"/>
        <v>Standard Price</v>
      </c>
      <c r="I18" s="29">
        <v>15</v>
      </c>
      <c r="J18" s="24" t="s">
        <v>9</v>
      </c>
    </row>
    <row r="19" spans="1:10" ht="15.75" customHeight="1" x14ac:dyDescent="0.25">
      <c r="A19" s="9" t="s">
        <v>56</v>
      </c>
      <c r="B19" s="30" t="str">
        <f t="shared" si="0"/>
        <v>27</v>
      </c>
      <c r="C19" s="33" t="str">
        <f t="shared" si="1"/>
        <v>JAN</v>
      </c>
      <c r="D19" s="33" t="str">
        <f t="shared" si="2"/>
        <v>IT</v>
      </c>
      <c r="E19" s="25" t="s">
        <v>7</v>
      </c>
      <c r="F19" s="25" t="s">
        <v>57</v>
      </c>
      <c r="G19" s="25">
        <v>980</v>
      </c>
      <c r="H19" s="22" t="str">
        <f t="shared" si="3"/>
        <v>Higher Price</v>
      </c>
      <c r="I19" s="25">
        <v>10</v>
      </c>
      <c r="J19" s="28" t="s">
        <v>9</v>
      </c>
    </row>
    <row r="20" spans="1:10" ht="15.75" customHeight="1" x14ac:dyDescent="0.25">
      <c r="A20" s="34" t="s">
        <v>58</v>
      </c>
      <c r="B20" s="35" t="str">
        <f t="shared" si="0"/>
        <v>01</v>
      </c>
      <c r="C20" s="37" t="str">
        <f t="shared" si="1"/>
        <v>MAR</v>
      </c>
      <c r="D20" s="37" t="str">
        <f t="shared" si="2"/>
        <v>UK</v>
      </c>
      <c r="E20" s="29" t="s">
        <v>59</v>
      </c>
      <c r="F20" s="29" t="s">
        <v>60</v>
      </c>
      <c r="G20" s="29">
        <v>150</v>
      </c>
      <c r="H20" s="21" t="str">
        <f t="shared" si="3"/>
        <v>Standard Price</v>
      </c>
      <c r="I20" s="29">
        <v>15</v>
      </c>
      <c r="J20" s="24" t="s">
        <v>13</v>
      </c>
    </row>
    <row r="21" spans="1:10" ht="15.75" customHeight="1" x14ac:dyDescent="0.25">
      <c r="A21" s="9" t="s">
        <v>61</v>
      </c>
      <c r="B21" s="30" t="str">
        <f t="shared" si="0"/>
        <v>14</v>
      </c>
      <c r="C21" s="33" t="str">
        <f t="shared" si="1"/>
        <v>AUG</v>
      </c>
      <c r="D21" s="33" t="str">
        <f t="shared" si="2"/>
        <v>US</v>
      </c>
      <c r="E21" s="25" t="s">
        <v>62</v>
      </c>
      <c r="F21" s="25" t="s">
        <v>63</v>
      </c>
      <c r="G21" s="25">
        <v>200</v>
      </c>
      <c r="H21" s="22" t="str">
        <f t="shared" si="3"/>
        <v>Standard Price</v>
      </c>
      <c r="I21" s="25">
        <v>10</v>
      </c>
      <c r="J21" s="28" t="s">
        <v>24</v>
      </c>
    </row>
    <row r="22" spans="1:10" ht="15.75" customHeight="1" x14ac:dyDescent="0.25">
      <c r="A22" s="34" t="s">
        <v>64</v>
      </c>
      <c r="B22" s="35" t="str">
        <f t="shared" si="0"/>
        <v>14</v>
      </c>
      <c r="C22" s="37" t="str">
        <f t="shared" si="1"/>
        <v>MAY</v>
      </c>
      <c r="D22" s="37" t="str">
        <f t="shared" si="2"/>
        <v>RU</v>
      </c>
      <c r="E22" s="29" t="s">
        <v>65</v>
      </c>
      <c r="F22" s="29" t="s">
        <v>66</v>
      </c>
      <c r="G22" s="29">
        <v>700</v>
      </c>
      <c r="H22" s="21" t="str">
        <f t="shared" si="3"/>
        <v>Higher Price</v>
      </c>
      <c r="I22" s="29">
        <v>50</v>
      </c>
      <c r="J22" s="24" t="s">
        <v>9</v>
      </c>
    </row>
    <row r="23" spans="1:10" ht="15.75" customHeight="1" x14ac:dyDescent="0.25">
      <c r="A23" s="9" t="s">
        <v>67</v>
      </c>
      <c r="B23" s="30" t="str">
        <f t="shared" si="0"/>
        <v>09</v>
      </c>
      <c r="C23" s="33" t="str">
        <f t="shared" si="1"/>
        <v>JAN</v>
      </c>
      <c r="D23" s="33" t="str">
        <f t="shared" si="2"/>
        <v>CA</v>
      </c>
      <c r="E23" s="25" t="s">
        <v>68</v>
      </c>
      <c r="F23" s="25" t="s">
        <v>69</v>
      </c>
      <c r="G23" s="25">
        <v>80</v>
      </c>
      <c r="H23" s="22" t="str">
        <f t="shared" si="3"/>
        <v>Standard Price</v>
      </c>
      <c r="I23" s="25">
        <v>20</v>
      </c>
      <c r="J23" s="28" t="s">
        <v>17</v>
      </c>
    </row>
    <row r="24" spans="1:10" ht="15.75" customHeight="1" x14ac:dyDescent="0.25">
      <c r="A24" s="34" t="s">
        <v>70</v>
      </c>
      <c r="B24" s="35" t="str">
        <f t="shared" si="0"/>
        <v>19</v>
      </c>
      <c r="C24" s="37" t="str">
        <f t="shared" si="1"/>
        <v>JUL</v>
      </c>
      <c r="D24" s="37" t="str">
        <f t="shared" si="2"/>
        <v>BR</v>
      </c>
      <c r="E24" s="29" t="s">
        <v>71</v>
      </c>
      <c r="F24" s="29" t="s">
        <v>72</v>
      </c>
      <c r="G24" s="29">
        <v>150</v>
      </c>
      <c r="H24" s="21" t="str">
        <f t="shared" si="3"/>
        <v>Standard Price</v>
      </c>
      <c r="I24" s="29">
        <v>30</v>
      </c>
      <c r="J24" s="24" t="s">
        <v>9</v>
      </c>
    </row>
    <row r="25" spans="1:10" ht="15.75" customHeight="1" x14ac:dyDescent="0.25">
      <c r="A25" s="9" t="s">
        <v>50</v>
      </c>
      <c r="B25" s="30" t="str">
        <f t="shared" si="0"/>
        <v>21</v>
      </c>
      <c r="C25" s="33" t="str">
        <f t="shared" si="1"/>
        <v>AUG</v>
      </c>
      <c r="D25" s="33" t="str">
        <f t="shared" si="2"/>
        <v>CA</v>
      </c>
      <c r="E25" s="25" t="s">
        <v>51</v>
      </c>
      <c r="F25" s="25" t="s">
        <v>52</v>
      </c>
      <c r="G25" s="25">
        <v>50</v>
      </c>
      <c r="H25" s="22" t="str">
        <f t="shared" si="3"/>
        <v>Standard Price</v>
      </c>
      <c r="I25" s="25">
        <v>35</v>
      </c>
      <c r="J25" s="28" t="s">
        <v>53</v>
      </c>
    </row>
    <row r="26" spans="1:10" ht="15.75" customHeight="1" x14ac:dyDescent="0.25">
      <c r="A26" s="34" t="s">
        <v>73</v>
      </c>
      <c r="B26" s="35" t="str">
        <f t="shared" si="0"/>
        <v>29</v>
      </c>
      <c r="C26" s="37" t="str">
        <f t="shared" si="1"/>
        <v>SEP</v>
      </c>
      <c r="D26" s="37" t="str">
        <f t="shared" si="2"/>
        <v>CA</v>
      </c>
      <c r="E26" s="29" t="s">
        <v>19</v>
      </c>
      <c r="F26" s="29" t="s">
        <v>74</v>
      </c>
      <c r="G26" s="29">
        <v>800</v>
      </c>
      <c r="H26" s="21" t="str">
        <f t="shared" si="3"/>
        <v>Higher Price</v>
      </c>
      <c r="I26" s="29">
        <v>45</v>
      </c>
      <c r="J26" s="24" t="s">
        <v>9</v>
      </c>
    </row>
    <row r="27" spans="1:10" ht="15.75" customHeight="1" x14ac:dyDescent="0.25">
      <c r="A27" s="9" t="s">
        <v>75</v>
      </c>
      <c r="B27" s="30" t="str">
        <f t="shared" si="0"/>
        <v>03</v>
      </c>
      <c r="C27" s="33" t="str">
        <f t="shared" si="1"/>
        <v>JUN</v>
      </c>
      <c r="D27" s="33" t="str">
        <f t="shared" si="2"/>
        <v>CA</v>
      </c>
      <c r="E27" s="25" t="s">
        <v>59</v>
      </c>
      <c r="F27" s="25" t="s">
        <v>76</v>
      </c>
      <c r="G27" s="25">
        <v>130</v>
      </c>
      <c r="H27" s="22" t="str">
        <f t="shared" si="3"/>
        <v>Standard Price</v>
      </c>
      <c r="I27" s="25">
        <v>25</v>
      </c>
      <c r="J27" s="28" t="s">
        <v>13</v>
      </c>
    </row>
    <row r="28" spans="1:10" ht="15.75" customHeight="1" x14ac:dyDescent="0.25">
      <c r="A28" s="34" t="s">
        <v>77</v>
      </c>
      <c r="B28" s="35" t="str">
        <f t="shared" si="0"/>
        <v>11</v>
      </c>
      <c r="C28" s="37" t="str">
        <f t="shared" si="1"/>
        <v>JUL</v>
      </c>
      <c r="D28" s="37" t="str">
        <f t="shared" si="2"/>
        <v>CA</v>
      </c>
      <c r="E28" s="29" t="s">
        <v>32</v>
      </c>
      <c r="F28" s="29" t="s">
        <v>78</v>
      </c>
      <c r="G28" s="29">
        <v>400</v>
      </c>
      <c r="H28" s="21" t="str">
        <f t="shared" si="3"/>
        <v>Standard Price</v>
      </c>
      <c r="I28" s="29">
        <v>40</v>
      </c>
      <c r="J28" s="24" t="s">
        <v>17</v>
      </c>
    </row>
    <row r="29" spans="1:10" ht="15.75" customHeight="1" x14ac:dyDescent="0.25">
      <c r="A29" s="9" t="s">
        <v>48</v>
      </c>
      <c r="B29" s="30" t="str">
        <f t="shared" si="0"/>
        <v>16</v>
      </c>
      <c r="C29" s="33" t="str">
        <f t="shared" si="1"/>
        <v>APR</v>
      </c>
      <c r="D29" s="33" t="str">
        <f t="shared" si="2"/>
        <v>ES</v>
      </c>
      <c r="E29" s="25" t="s">
        <v>26</v>
      </c>
      <c r="F29" s="25" t="s">
        <v>49</v>
      </c>
      <c r="G29" s="25">
        <v>230</v>
      </c>
      <c r="H29" s="22" t="str">
        <f t="shared" si="3"/>
        <v>Standard Price</v>
      </c>
      <c r="I29" s="25">
        <v>20</v>
      </c>
      <c r="J29" s="28" t="s">
        <v>9</v>
      </c>
    </row>
    <row r="30" spans="1:10" ht="15.75" customHeight="1" x14ac:dyDescent="0.25">
      <c r="A30" s="34" t="s">
        <v>79</v>
      </c>
      <c r="B30" s="35" t="str">
        <f t="shared" si="0"/>
        <v>07</v>
      </c>
      <c r="C30" s="37" t="str">
        <f t="shared" si="1"/>
        <v>MAR</v>
      </c>
      <c r="D30" s="37" t="str">
        <f t="shared" si="2"/>
        <v>CA</v>
      </c>
      <c r="E30" s="29" t="s">
        <v>80</v>
      </c>
      <c r="F30" s="29" t="s">
        <v>81</v>
      </c>
      <c r="G30" s="29">
        <v>60</v>
      </c>
      <c r="H30" s="21" t="str">
        <f t="shared" si="3"/>
        <v>Standard Price</v>
      </c>
      <c r="I30" s="29">
        <v>30</v>
      </c>
      <c r="J30" s="24" t="s">
        <v>13</v>
      </c>
    </row>
    <row r="31" spans="1:10" ht="15.75" customHeight="1" x14ac:dyDescent="0.25">
      <c r="A31" s="9" t="s">
        <v>82</v>
      </c>
      <c r="B31" s="30" t="str">
        <f t="shared" si="0"/>
        <v>13</v>
      </c>
      <c r="C31" s="33" t="str">
        <f t="shared" si="1"/>
        <v>APR</v>
      </c>
      <c r="D31" s="33" t="str">
        <f t="shared" si="2"/>
        <v>CA</v>
      </c>
      <c r="E31" s="25" t="s">
        <v>83</v>
      </c>
      <c r="F31" s="25" t="s">
        <v>84</v>
      </c>
      <c r="G31" s="25">
        <v>40</v>
      </c>
      <c r="H31" s="22" t="str">
        <f t="shared" si="3"/>
        <v>Standard Price</v>
      </c>
      <c r="I31" s="25">
        <v>10</v>
      </c>
      <c r="J31" s="28" t="s">
        <v>17</v>
      </c>
    </row>
    <row r="32" spans="1:10" ht="15.75" customHeight="1" x14ac:dyDescent="0.25">
      <c r="A32" s="34" t="s">
        <v>85</v>
      </c>
      <c r="B32" s="35" t="str">
        <f t="shared" si="0"/>
        <v>24</v>
      </c>
      <c r="C32" s="37" t="str">
        <f t="shared" si="1"/>
        <v>MAY</v>
      </c>
      <c r="D32" s="37" t="str">
        <f t="shared" si="2"/>
        <v>CA</v>
      </c>
      <c r="E32" s="29" t="s">
        <v>71</v>
      </c>
      <c r="F32" s="29" t="s">
        <v>86</v>
      </c>
      <c r="G32" s="29">
        <v>130</v>
      </c>
      <c r="H32" s="21" t="str">
        <f t="shared" si="3"/>
        <v>Standard Price</v>
      </c>
      <c r="I32" s="29">
        <v>5</v>
      </c>
      <c r="J32" s="24" t="s">
        <v>9</v>
      </c>
    </row>
    <row r="33" spans="1:10" ht="15.75" customHeight="1" x14ac:dyDescent="0.25">
      <c r="A33" s="9" t="s">
        <v>87</v>
      </c>
      <c r="B33" s="30" t="str">
        <f t="shared" si="0"/>
        <v>02</v>
      </c>
      <c r="C33" s="33" t="str">
        <f t="shared" si="1"/>
        <v>DEC</v>
      </c>
      <c r="D33" s="33" t="str">
        <f t="shared" si="2"/>
        <v>CA</v>
      </c>
      <c r="E33" s="25" t="s">
        <v>88</v>
      </c>
      <c r="F33" s="25" t="s">
        <v>89</v>
      </c>
      <c r="G33" s="25">
        <v>50</v>
      </c>
      <c r="H33" s="22" t="str">
        <f t="shared" si="3"/>
        <v>Standard Price</v>
      </c>
      <c r="I33" s="25">
        <v>50</v>
      </c>
      <c r="J33" s="28" t="s">
        <v>13</v>
      </c>
    </row>
    <row r="34" spans="1:10" ht="15.75" customHeight="1" x14ac:dyDescent="0.25">
      <c r="A34" s="34" t="s">
        <v>40</v>
      </c>
      <c r="B34" s="35" t="str">
        <f t="shared" si="0"/>
        <v>17</v>
      </c>
      <c r="C34" s="37" t="str">
        <f t="shared" si="1"/>
        <v>JUN</v>
      </c>
      <c r="D34" s="37" t="str">
        <f t="shared" si="2"/>
        <v>IN</v>
      </c>
      <c r="E34" s="29" t="s">
        <v>7</v>
      </c>
      <c r="F34" s="29" t="s">
        <v>41</v>
      </c>
      <c r="G34" s="29">
        <v>950</v>
      </c>
      <c r="H34" s="21" t="str">
        <f t="shared" si="3"/>
        <v>Higher Price</v>
      </c>
      <c r="I34" s="29">
        <v>25</v>
      </c>
      <c r="J34" s="24" t="s">
        <v>9</v>
      </c>
    </row>
    <row r="35" spans="1:10" ht="15.75" customHeight="1" x14ac:dyDescent="0.25">
      <c r="A35" s="9" t="s">
        <v>90</v>
      </c>
      <c r="B35" s="31" t="str">
        <f t="shared" si="0"/>
        <v>09</v>
      </c>
      <c r="C35" s="33" t="str">
        <f t="shared" si="1"/>
        <v>JUL</v>
      </c>
      <c r="D35" s="33" t="str">
        <f t="shared" si="2"/>
        <v>FR</v>
      </c>
      <c r="E35" s="26" t="s">
        <v>91</v>
      </c>
      <c r="F35" s="26" t="s">
        <v>92</v>
      </c>
      <c r="G35" s="26">
        <v>100</v>
      </c>
      <c r="H35" s="22" t="str">
        <f t="shared" si="3"/>
        <v>Standard Price</v>
      </c>
      <c r="I35" s="26">
        <v>20</v>
      </c>
      <c r="J35" s="28" t="s">
        <v>53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L13:L15"/>
    <mergeCell ref="L4:L6"/>
    <mergeCell ref="L2:O2"/>
    <mergeCell ref="L7:L8"/>
    <mergeCell ref="L9:L10"/>
    <mergeCell ref="L11:L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HARSHANE</dc:creator>
  <cp:lastModifiedBy>harshaneprem87239@gmail.com</cp:lastModifiedBy>
  <dcterms:created xsi:type="dcterms:W3CDTF">2026-06-05T19:01:20Z</dcterms:created>
  <dcterms:modified xsi:type="dcterms:W3CDTF">2026-06-05T20:50:36Z</dcterms:modified>
</cp:coreProperties>
</file>